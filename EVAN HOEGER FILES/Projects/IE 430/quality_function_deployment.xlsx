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f496e5f975282e/Desktop/"/>
    </mc:Choice>
  </mc:AlternateContent>
  <xr:revisionPtr revIDLastSave="239" documentId="13_ncr:1_{8E30210D-9C33-44ED-8749-F9E9C6D1AB4C}" xr6:coauthVersionLast="47" xr6:coauthVersionMax="47" xr10:uidLastSave="{CCAC33C5-78CA-44F7-B7B6-B125CD2EAA78}"/>
  <bookViews>
    <workbookView xWindow="-120" yWindow="-120" windowWidth="20730" windowHeight="11160" xr2:uid="{00000000-000D-0000-FFFF-FFFF00000000}"/>
  </bookViews>
  <sheets>
    <sheet name="QFD" sheetId="2" r:id="rId1"/>
  </sheets>
  <externalReferences>
    <externalReference r:id="rId2"/>
  </externalReferences>
  <definedNames>
    <definedName name="Correlation_Options">'[1]Data Validation Sources'!$C$2:$C$6</definedName>
    <definedName name="_xlnm.Print_Area" localSheetId="0">QFD!$A$1:$N$37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I13" i="2"/>
  <c r="I14" i="2"/>
  <c r="I15" i="2"/>
  <c r="I16" i="2"/>
  <c r="I17" i="2"/>
  <c r="I18" i="2"/>
  <c r="I19" i="2"/>
  <c r="I20" i="2"/>
  <c r="H21" i="2"/>
  <c r="G21" i="2"/>
  <c r="F21" i="2"/>
  <c r="E21" i="2"/>
  <c r="D21" i="2"/>
  <c r="I21" i="2" l="1"/>
  <c r="E22" i="2" s="1"/>
  <c r="D23" i="2"/>
  <c r="E23" i="2"/>
  <c r="F23" i="2"/>
  <c r="G23" i="2"/>
  <c r="H23" i="2"/>
  <c r="F22" i="2" l="1"/>
  <c r="H22" i="2"/>
  <c r="G22" i="2"/>
  <c r="D22" i="2"/>
  <c r="I22" i="2" l="1"/>
</calcChain>
</file>

<file path=xl/sharedStrings.xml><?xml version="1.0" encoding="utf-8"?>
<sst xmlns="http://schemas.openxmlformats.org/spreadsheetml/2006/main" count="62" uniqueCount="57">
  <si>
    <t>Quality Function Deployment</t>
  </si>
  <si>
    <t>Project title:</t>
  </si>
  <si>
    <t>Smart Toolbox</t>
  </si>
  <si>
    <t>Correlation:</t>
  </si>
  <si>
    <t>Project leader:</t>
  </si>
  <si>
    <t>Luke Fredin</t>
  </si>
  <si>
    <t>+</t>
  </si>
  <si>
    <t>.</t>
  </si>
  <si>
    <t>-</t>
  </si>
  <si>
    <t>Date:</t>
  </si>
  <si>
    <t>Positive</t>
  </si>
  <si>
    <t>No correlation</t>
  </si>
  <si>
    <t>Negative</t>
  </si>
  <si>
    <t>Relationships:</t>
  </si>
  <si>
    <t>Desired direction of improvement (↑,0,↓)</t>
  </si>
  <si>
    <t>Strong</t>
  </si>
  <si>
    <t>Moderate</t>
  </si>
  <si>
    <t>Weak</t>
  </si>
  <si>
    <t>None</t>
  </si>
  <si>
    <t>1: low, 5: high</t>
  </si>
  <si>
    <t>Functional Requirements (How's)
→</t>
  </si>
  <si>
    <t>Keeps Track of Tools</t>
  </si>
  <si>
    <t>User Specific Access</t>
  </si>
  <si>
    <t>On Board Power Source</t>
  </si>
  <si>
    <t>Manager U.I.</t>
  </si>
  <si>
    <t>Single Drawer Use</t>
  </si>
  <si>
    <t>Competitive evaluation (1: low, 5: high)</t>
  </si>
  <si>
    <t>Customer importance rating</t>
  </si>
  <si>
    <t>Customer Requirements - (What's)
↓</t>
  </si>
  <si>
    <t>Weighted Score</t>
  </si>
  <si>
    <t>Satisfaction rating</t>
  </si>
  <si>
    <t>Competitor rating 1</t>
  </si>
  <si>
    <t>Competitor rating 2</t>
  </si>
  <si>
    <t>Holds 6000lbs of Tools</t>
  </si>
  <si>
    <t>Lockable</t>
  </si>
  <si>
    <t>Mobile</t>
  </si>
  <si>
    <t xml:space="preserve">Operates Safely </t>
  </si>
  <si>
    <t>Reliable</t>
  </si>
  <si>
    <t>Affordable</t>
  </si>
  <si>
    <t>Increases Efficiency</t>
  </si>
  <si>
    <t>Organization</t>
  </si>
  <si>
    <t>Functional U.I.</t>
  </si>
  <si>
    <t>Technical importance score</t>
  </si>
  <si>
    <t>Importance %</t>
  </si>
  <si>
    <t>Priorities rank</t>
  </si>
  <si>
    <t>WT</t>
  </si>
  <si>
    <t>W</t>
  </si>
  <si>
    <t>T</t>
  </si>
  <si>
    <t>Comments/Conclusion:</t>
  </si>
  <si>
    <t>Continuous Improvement Toolkit . www.citoolkit.com</t>
  </si>
  <si>
    <t>Guide:</t>
  </si>
  <si>
    <t xml:space="preserve">   Fill in the What's the customer requirements and the importance rating per requirement.</t>
  </si>
  <si>
    <t xml:space="preserve">   Fill in the How's the processes or characteristics that are needed to meet the customer requirements.</t>
  </si>
  <si>
    <t xml:space="preserve">   Work through the matrix indicating the impact that the How's has on each customer requirement.</t>
  </si>
  <si>
    <t xml:space="preserve">   Look at the bottom and the right of the table to see which customer and functional requirements should be given more attention.</t>
  </si>
  <si>
    <t>Note:</t>
  </si>
  <si>
    <t xml:space="preserve">   You need to fill only the white and blue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</si>
</sst>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sz val="9"/>
      <color rgb="FF0000CC"/>
      <name val="Calibri"/>
      <family val="2"/>
      <scheme val="minor"/>
    </font>
    <font>
      <sz val="8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11"/>
      <name val="Calibri"/>
      <family val="2"/>
      <scheme val="minor"/>
    </font>
    <font>
      <sz val="9"/>
      <color indexed="55"/>
      <name val="Calibri"/>
      <family val="2"/>
      <scheme val="minor"/>
    </font>
    <font>
      <sz val="2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sz val="10"/>
      <color theme="1" tint="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3E1FF"/>
        <bgColor indexed="64"/>
      </patternFill>
    </fill>
    <fill>
      <patternFill patternType="solid">
        <fgColor rgb="FFEAEAEA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4" borderId="13" xfId="0" applyFont="1" applyFill="1" applyBorder="1" applyAlignment="1" applyProtection="1">
      <alignment horizontal="center" vertical="center"/>
    </xf>
    <xf numFmtId="0" fontId="2" fillId="4" borderId="0" xfId="0" applyFont="1" applyFill="1" applyProtection="1"/>
    <xf numFmtId="0" fontId="3" fillId="4" borderId="0" xfId="0" applyFont="1" applyFill="1" applyBorder="1" applyAlignment="1" applyProtection="1">
      <alignment horizontal="right" vertical="center"/>
    </xf>
    <xf numFmtId="0" fontId="9" fillId="4" borderId="0" xfId="0" applyFont="1" applyFill="1" applyBorder="1" applyAlignment="1" applyProtection="1">
      <alignment horizontal="left" vertical="center"/>
    </xf>
    <xf numFmtId="0" fontId="7" fillId="4" borderId="5" xfId="0" applyFont="1" applyFill="1" applyBorder="1" applyAlignment="1" applyProtection="1">
      <alignment horizontal="center"/>
    </xf>
    <xf numFmtId="9" fontId="7" fillId="4" borderId="0" xfId="0" applyNumberFormat="1" applyFont="1" applyFill="1" applyBorder="1" applyAlignment="1" applyProtection="1">
      <alignment horizontal="center"/>
    </xf>
    <xf numFmtId="0" fontId="9" fillId="4" borderId="0" xfId="0" applyFont="1" applyFill="1" applyBorder="1" applyAlignment="1" applyProtection="1">
      <alignment horizontal="center"/>
    </xf>
    <xf numFmtId="0" fontId="10" fillId="4" borderId="0" xfId="0" applyFont="1" applyFill="1" applyBorder="1" applyAlignment="1" applyProtection="1">
      <alignment horizontal="center"/>
    </xf>
    <xf numFmtId="0" fontId="3" fillId="4" borderId="0" xfId="0" applyFont="1" applyFill="1" applyProtection="1"/>
    <xf numFmtId="0" fontId="3" fillId="5" borderId="8" xfId="0" applyFont="1" applyFill="1" applyBorder="1" applyAlignment="1" applyProtection="1">
      <alignment horizontal="left" vertical="center" wrapText="1"/>
      <protection locked="0"/>
    </xf>
    <xf numFmtId="0" fontId="3" fillId="5" borderId="7" xfId="0" applyFont="1" applyFill="1" applyBorder="1" applyAlignment="1" applyProtection="1">
      <alignment horizontal="left" vertical="center" wrapText="1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10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3" fillId="3" borderId="14" xfId="0" applyFont="1" applyFill="1" applyBorder="1" applyProtection="1">
      <protection locked="0"/>
    </xf>
    <xf numFmtId="0" fontId="3" fillId="3" borderId="15" xfId="0" applyFont="1" applyFill="1" applyBorder="1" applyProtection="1">
      <protection locked="0"/>
    </xf>
    <xf numFmtId="0" fontId="3" fillId="3" borderId="15" xfId="0" applyFont="1" applyFill="1" applyBorder="1" applyAlignment="1" applyProtection="1">
      <alignment vertical="center"/>
      <protection locked="0"/>
    </xf>
    <xf numFmtId="0" fontId="3" fillId="3" borderId="16" xfId="0" applyFont="1" applyFill="1" applyBorder="1" applyAlignment="1" applyProtection="1">
      <alignment vertical="center"/>
      <protection locked="0"/>
    </xf>
    <xf numFmtId="0" fontId="3" fillId="3" borderId="17" xfId="0" applyFont="1" applyFill="1" applyBorder="1" applyProtection="1">
      <protection locked="0"/>
    </xf>
    <xf numFmtId="0" fontId="3" fillId="3" borderId="18" xfId="0" applyFont="1" applyFill="1" applyBorder="1" applyProtection="1">
      <protection locked="0"/>
    </xf>
    <xf numFmtId="0" fontId="3" fillId="3" borderId="19" xfId="0" applyFont="1" applyFill="1" applyBorder="1" applyProtection="1">
      <protection locked="0"/>
    </xf>
    <xf numFmtId="0" fontId="3" fillId="3" borderId="20" xfId="0" applyFont="1" applyFill="1" applyBorder="1" applyProtection="1">
      <protection locked="0"/>
    </xf>
    <xf numFmtId="0" fontId="3" fillId="3" borderId="0" xfId="0" applyFont="1" applyFill="1" applyBorder="1" applyProtection="1">
      <protection locked="0"/>
    </xf>
    <xf numFmtId="0" fontId="3" fillId="3" borderId="0" xfId="0" applyFont="1" applyFill="1" applyBorder="1" applyAlignment="1" applyProtection="1">
      <alignment vertical="center"/>
      <protection locked="0"/>
    </xf>
    <xf numFmtId="0" fontId="3" fillId="3" borderId="21" xfId="0" applyFont="1" applyFill="1" applyBorder="1" applyAlignment="1" applyProtection="1">
      <alignment vertical="center"/>
      <protection locked="0"/>
    </xf>
    <xf numFmtId="0" fontId="3" fillId="4" borderId="0" xfId="0" applyFont="1" applyFill="1" applyBorder="1" applyProtection="1"/>
    <xf numFmtId="0" fontId="5" fillId="4" borderId="0" xfId="0" applyFont="1" applyFill="1" applyBorder="1" applyAlignment="1" applyProtection="1">
      <alignment horizontal="left" vertical="center"/>
    </xf>
    <xf numFmtId="0" fontId="11" fillId="4" borderId="0" xfId="0" applyFont="1" applyFill="1" applyBorder="1" applyAlignment="1" applyProtection="1">
      <alignment vertical="center"/>
    </xf>
    <xf numFmtId="0" fontId="9" fillId="4" borderId="0" xfId="0" applyFont="1" applyFill="1" applyBorder="1" applyProtection="1"/>
    <xf numFmtId="0" fontId="13" fillId="4" borderId="0" xfId="0" applyFont="1" applyFill="1" applyAlignment="1" applyProtection="1">
      <alignment horizontal="center"/>
    </xf>
    <xf numFmtId="0" fontId="11" fillId="4" borderId="0" xfId="0" applyFont="1" applyFill="1" applyBorder="1" applyAlignment="1" applyProtection="1">
      <alignment horizontal="center" vertical="center"/>
    </xf>
    <xf numFmtId="0" fontId="9" fillId="4" borderId="0" xfId="0" applyFont="1" applyFill="1" applyBorder="1" applyAlignment="1" applyProtection="1">
      <alignment vertical="center"/>
    </xf>
    <xf numFmtId="0" fontId="11" fillId="4" borderId="13" xfId="0" applyFont="1" applyFill="1" applyBorder="1" applyAlignment="1" applyProtection="1">
      <alignment horizontal="center" vertical="center"/>
    </xf>
    <xf numFmtId="0" fontId="9" fillId="4" borderId="13" xfId="0" applyFont="1" applyFill="1" applyBorder="1" applyAlignment="1" applyProtection="1">
      <alignment horizontal="center" vertical="center"/>
    </xf>
    <xf numFmtId="0" fontId="13" fillId="4" borderId="0" xfId="0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 applyProtection="1">
      <alignment horizontal="center" vertical="center"/>
      <protection locked="0"/>
    </xf>
    <xf numFmtId="0" fontId="3" fillId="3" borderId="11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Border="1" applyAlignment="1" applyProtection="1">
      <alignment vertical="center"/>
    </xf>
    <xf numFmtId="0" fontId="3" fillId="4" borderId="4" xfId="0" applyFont="1" applyFill="1" applyBorder="1" applyAlignment="1" applyProtection="1">
      <alignment vertical="center"/>
    </xf>
    <xf numFmtId="0" fontId="3" fillId="3" borderId="12" xfId="0" applyFont="1" applyFill="1" applyBorder="1" applyAlignment="1" applyProtection="1">
      <alignment horizontal="center" vertical="center"/>
      <protection locked="0"/>
    </xf>
    <xf numFmtId="0" fontId="3" fillId="3" borderId="10" xfId="0" applyFont="1" applyFill="1" applyBorder="1" applyAlignment="1" applyProtection="1">
      <alignment horizontal="center" vertical="center"/>
      <protection locked="0"/>
    </xf>
    <xf numFmtId="0" fontId="10" fillId="4" borderId="0" xfId="0" applyFont="1" applyFill="1" applyBorder="1" applyAlignment="1" applyProtection="1">
      <alignment horizontal="left"/>
    </xf>
    <xf numFmtId="0" fontId="3" fillId="4" borderId="0" xfId="0" applyFont="1" applyFill="1" applyAlignment="1" applyProtection="1">
      <alignment vertical="center"/>
    </xf>
    <xf numFmtId="0" fontId="14" fillId="4" borderId="0" xfId="0" applyFont="1" applyFill="1" applyBorder="1" applyProtection="1"/>
    <xf numFmtId="0" fontId="9" fillId="4" borderId="13" xfId="0" quotePrefix="1" applyFont="1" applyFill="1" applyBorder="1" applyAlignment="1" applyProtection="1">
      <alignment horizontal="center" vertical="center"/>
    </xf>
    <xf numFmtId="0" fontId="6" fillId="7" borderId="7" xfId="0" applyFont="1" applyFill="1" applyBorder="1" applyAlignment="1" applyProtection="1">
      <alignment horizontal="right" vertical="center"/>
    </xf>
    <xf numFmtId="0" fontId="3" fillId="7" borderId="7" xfId="0" applyFont="1" applyFill="1" applyBorder="1" applyAlignment="1" applyProtection="1">
      <alignment horizontal="center" vertical="center" wrapText="1"/>
    </xf>
    <xf numFmtId="0" fontId="3" fillId="7" borderId="3" xfId="0" applyFont="1" applyFill="1" applyBorder="1" applyAlignment="1" applyProtection="1">
      <alignment horizontal="center" vertical="center" wrapText="1"/>
    </xf>
    <xf numFmtId="0" fontId="3" fillId="7" borderId="2" xfId="0" applyFont="1" applyFill="1" applyBorder="1" applyAlignment="1" applyProtection="1">
      <alignment horizontal="center" vertical="center" wrapText="1"/>
    </xf>
    <xf numFmtId="0" fontId="7" fillId="7" borderId="3" xfId="0" applyFont="1" applyFill="1" applyBorder="1" applyAlignment="1" applyProtection="1">
      <alignment horizontal="center" vertical="center"/>
    </xf>
    <xf numFmtId="0" fontId="3" fillId="7" borderId="9" xfId="0" applyFont="1" applyFill="1" applyBorder="1" applyAlignment="1" applyProtection="1">
      <alignment horizontal="right" vertical="center"/>
    </xf>
    <xf numFmtId="0" fontId="3" fillId="7" borderId="7" xfId="0" applyFont="1" applyFill="1" applyBorder="1" applyAlignment="1" applyProtection="1">
      <alignment horizontal="right" vertical="center"/>
    </xf>
    <xf numFmtId="0" fontId="3" fillId="7" borderId="4" xfId="0" applyFont="1" applyFill="1" applyBorder="1" applyAlignment="1" applyProtection="1">
      <alignment horizontal="right" vertical="center"/>
    </xf>
    <xf numFmtId="0" fontId="3" fillId="7" borderId="6" xfId="0" applyFont="1" applyFill="1" applyBorder="1" applyAlignment="1" applyProtection="1">
      <alignment horizontal="right" vertical="center"/>
    </xf>
    <xf numFmtId="0" fontId="3" fillId="7" borderId="9" xfId="0" applyFont="1" applyFill="1" applyBorder="1" applyAlignment="1" applyProtection="1">
      <alignment horizontal="center" vertical="center"/>
    </xf>
    <xf numFmtId="9" fontId="3" fillId="7" borderId="7" xfId="0" applyNumberFormat="1" applyFont="1" applyFill="1" applyBorder="1" applyAlignment="1" applyProtection="1">
      <alignment horizontal="center" vertical="center"/>
    </xf>
    <xf numFmtId="0" fontId="8" fillId="7" borderId="7" xfId="0" applyFont="1" applyFill="1" applyBorder="1" applyAlignment="1" applyProtection="1">
      <alignment horizontal="center" vertical="center"/>
    </xf>
    <xf numFmtId="0" fontId="3" fillId="7" borderId="9" xfId="0" applyFont="1" applyFill="1" applyBorder="1" applyAlignment="1" applyProtection="1">
      <alignment horizontal="center" wrapText="1"/>
    </xf>
    <xf numFmtId="0" fontId="3" fillId="7" borderId="10" xfId="0" applyFont="1" applyFill="1" applyBorder="1" applyAlignment="1" applyProtection="1">
      <alignment horizontal="right" vertical="center" wrapText="1"/>
    </xf>
    <xf numFmtId="0" fontId="3" fillId="3" borderId="13" xfId="0" applyFont="1" applyFill="1" applyBorder="1" applyAlignment="1" applyProtection="1">
      <alignment horizontal="left" vertical="center"/>
      <protection locked="0"/>
    </xf>
    <xf numFmtId="0" fontId="11" fillId="4" borderId="0" xfId="0" applyFont="1" applyFill="1" applyAlignment="1" applyProtection="1">
      <alignment horizontal="left" vertical="center"/>
    </xf>
    <xf numFmtId="0" fontId="15" fillId="4" borderId="13" xfId="0" quotePrefix="1" applyFont="1" applyFill="1" applyBorder="1" applyAlignment="1" applyProtection="1">
      <alignment horizontal="center" vertical="center"/>
    </xf>
    <xf numFmtId="0" fontId="15" fillId="4" borderId="13" xfId="0" applyFont="1" applyFill="1" applyBorder="1" applyAlignment="1" applyProtection="1">
      <alignment horizontal="center" vertical="center"/>
    </xf>
    <xf numFmtId="0" fontId="3" fillId="4" borderId="0" xfId="0" applyFont="1" applyFill="1" applyAlignment="1">
      <alignment horizontal="right" vertical="center"/>
    </xf>
    <xf numFmtId="0" fontId="13" fillId="4" borderId="0" xfId="0" applyFont="1" applyFill="1" applyBorder="1" applyAlignment="1" applyProtection="1">
      <alignment horizontal="center" vertical="center"/>
    </xf>
    <xf numFmtId="0" fontId="16" fillId="4" borderId="0" xfId="0" applyFont="1" applyFill="1" applyAlignment="1" applyProtection="1">
      <alignment vertical="center"/>
    </xf>
    <xf numFmtId="0" fontId="17" fillId="4" borderId="0" xfId="0" applyFont="1" applyFill="1" applyAlignment="1" applyProtection="1">
      <alignment vertical="center"/>
    </xf>
    <xf numFmtId="0" fontId="17" fillId="4" borderId="0" xfId="0" applyFont="1" applyFill="1" applyProtection="1"/>
    <xf numFmtId="14" fontId="3" fillId="3" borderId="13" xfId="0" applyNumberFormat="1" applyFont="1" applyFill="1" applyBorder="1" applyAlignment="1" applyProtection="1">
      <alignment horizontal="left" vertical="center"/>
      <protection locked="0"/>
    </xf>
    <xf numFmtId="0" fontId="12" fillId="2" borderId="0" xfId="0" applyFont="1" applyFill="1" applyAlignment="1" applyProtection="1">
      <alignment horizontal="center" vertical="center"/>
    </xf>
    <xf numFmtId="0" fontId="10" fillId="4" borderId="1" xfId="0" applyFont="1" applyFill="1" applyBorder="1" applyAlignment="1" applyProtection="1">
      <alignment horizontal="center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9" fillId="3" borderId="7" xfId="0" applyFont="1" applyFill="1" applyBorder="1" applyAlignment="1" applyProtection="1">
      <alignment horizontal="center" vertical="center" wrapText="1"/>
      <protection locked="0"/>
    </xf>
    <xf numFmtId="0" fontId="3" fillId="3" borderId="11" xfId="0" applyFont="1" applyFill="1" applyBorder="1" applyAlignment="1" applyProtection="1">
      <alignment horizontal="center" vertical="center" wrapText="1"/>
      <protection locked="0"/>
    </xf>
    <xf numFmtId="0" fontId="3" fillId="6" borderId="10" xfId="0" applyFont="1" applyFill="1" applyBorder="1" applyAlignment="1" applyProtection="1">
      <alignment horizontal="center" vertical="center" wrapText="1"/>
      <protection locked="0"/>
    </xf>
    <xf numFmtId="0" fontId="3" fillId="6" borderId="9" xfId="0" applyFont="1" applyFill="1" applyBorder="1" applyAlignment="1" applyProtection="1">
      <alignment horizontal="center" vertical="center" wrapText="1"/>
      <protection locked="0"/>
    </xf>
    <xf numFmtId="0" fontId="3" fillId="7" borderId="22" xfId="0" applyFont="1" applyFill="1" applyBorder="1" applyAlignment="1" applyProtection="1">
      <alignment horizontal="right" vertical="center"/>
    </xf>
    <xf numFmtId="0" fontId="3" fillId="3" borderId="23" xfId="0" applyFont="1" applyFill="1" applyBorder="1" applyAlignment="1" applyProtection="1">
      <alignment horizontal="center" vertical="center"/>
      <protection locked="0"/>
    </xf>
    <xf numFmtId="0" fontId="3" fillId="4" borderId="0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CCFFFF"/>
      <color rgb="FFC3E1FF"/>
      <color rgb="FF99CCFF"/>
      <color rgb="FF0000CC"/>
      <color rgb="FFFFFF99"/>
      <color rgb="FF66FFFF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323850</xdr:rowOff>
    </xdr:from>
    <xdr:to>
      <xdr:col>8</xdr:col>
      <xdr:colOff>0</xdr:colOff>
      <xdr:row>7</xdr:row>
      <xdr:rowOff>180975</xdr:rowOff>
    </xdr:to>
    <xdr:grpSp>
      <xdr:nvGrpSpPr>
        <xdr:cNvPr id="160" name="Group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3048000" y="323850"/>
          <a:ext cx="3571875" cy="1333500"/>
          <a:chOff x="364" y="70"/>
          <a:chExt cx="376" cy="134"/>
        </a:xfrm>
      </xdr:grpSpPr>
      <xdr:sp macro="" textlink="">
        <xdr:nvSpPr>
          <xdr:cNvPr id="161" name="AutoShape 3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364" y="70"/>
            <a:ext cx="376" cy="134"/>
          </a:xfrm>
          <a:prstGeom prst="triangle">
            <a:avLst>
              <a:gd name="adj" fmla="val 50000"/>
            </a:avLst>
          </a:prstGeom>
          <a:solidFill>
            <a:srgbClr val="FFFFFF"/>
          </a:solidFill>
          <a:ln w="12700">
            <a:solidFill>
              <a:schemeClr val="bg1">
                <a:lumMod val="65000"/>
              </a:schemeClr>
            </a:solidFill>
            <a:miter lim="800000"/>
            <a:headEnd/>
            <a:tailEnd/>
          </a:ln>
        </xdr:spPr>
      </xdr:sp>
      <xdr:sp macro="" textlink="">
        <xdr:nvSpPr>
          <xdr:cNvPr id="162" name="Rectangle 3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422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63" name="Rectangle 3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45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64" name="Rectangle 3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49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65" name="Rectangle 3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497" y="115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66" name="Rectangle 3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>
            <a:spLocks noChangeArrowheads="1"/>
          </xdr:cNvSpPr>
        </xdr:nvSpPr>
        <xdr:spPr bwMode="auto">
          <a:xfrm>
            <a:off x="534" y="141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67" name="Rectangle 3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Arrowheads="1"/>
          </xdr:cNvSpPr>
        </xdr:nvSpPr>
        <xdr:spPr bwMode="auto">
          <a:xfrm>
            <a:off x="571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68" name="Rectangle 3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534" y="8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69" name="Rectangle 4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>
            <a:spLocks noChangeArrowheads="1"/>
          </xdr:cNvSpPr>
        </xdr:nvSpPr>
        <xdr:spPr bwMode="auto">
          <a:xfrm>
            <a:off x="571" y="114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70" name="Rectangle 4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609" y="140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  <xdr:sp macro="" textlink="">
        <xdr:nvSpPr>
          <xdr:cNvPr id="171" name="Rectangle 4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647" y="167"/>
            <a:ext cx="33" cy="19"/>
          </a:xfrm>
          <a:prstGeom prst="rect">
            <a:avLst/>
          </a:prstGeom>
          <a:solidFill>
            <a:srgbClr val="FFFFFF"/>
          </a:solidFill>
          <a:ln w="9525">
            <a:solidFill>
              <a:srgbClr val="FFFFFF"/>
            </a:solidFill>
            <a:miter lim="800000"/>
            <a:headEnd/>
            <a:tailEnd/>
          </a:ln>
        </xdr:spPr>
        <xdr:txBody>
          <a:bodyPr vertOverflow="clip" wrap="square" lIns="36576" tIns="27432" rIns="36576" bIns="0" anchor="t" upright="1"/>
          <a:lstStyle/>
          <a:p>
            <a:pPr algn="ctr" rtl="0">
              <a:defRPr sz="1000"/>
            </a:pPr>
            <a:r>
              <a:rPr lang="en-US" sz="900" b="0" i="0" u="none" strike="noStrike" baseline="0">
                <a:solidFill>
                  <a:srgbClr val="000000"/>
                </a:solidFill>
                <a:latin typeface="+mn-lt"/>
                <a:cs typeface="Arial"/>
              </a:rPr>
              <a:t>.</a:t>
            </a:r>
          </a:p>
        </xdr:txBody>
      </xdr:sp>
    </xdr:grpSp>
    <xdr:clientData/>
  </xdr:twoCellAnchor>
  <xdr:twoCellAnchor>
    <xdr:from>
      <xdr:col>3</xdr:col>
      <xdr:colOff>590550</xdr:colOff>
      <xdr:row>6</xdr:row>
      <xdr:rowOff>9525</xdr:rowOff>
    </xdr:from>
    <xdr:to>
      <xdr:col>4</xdr:col>
      <xdr:colOff>104775</xdr:colOff>
      <xdr:row>7</xdr:row>
      <xdr:rowOff>47625</xdr:rowOff>
    </xdr:to>
    <xdr:sp macro="" textlink="">
      <xdr:nvSpPr>
        <xdr:cNvPr id="182" name="Plus 43">
          <a:extLst>
            <a:ext uri="{FF2B5EF4-FFF2-40B4-BE49-F238E27FC236}">
              <a16:creationId xmlns:a16="http://schemas.microsoft.com/office/drawing/2014/main" id="{31732EB0-D37C-BF2B-5A6D-E7DD544295CB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3638550" y="1295400"/>
          <a:ext cx="228600" cy="228600"/>
        </a:xfrm>
        <a:prstGeom prst="mathPl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609600</xdr:colOff>
      <xdr:row>6</xdr:row>
      <xdr:rowOff>9525</xdr:rowOff>
    </xdr:from>
    <xdr:to>
      <xdr:col>5</xdr:col>
      <xdr:colOff>123825</xdr:colOff>
      <xdr:row>7</xdr:row>
      <xdr:rowOff>47625</xdr:rowOff>
    </xdr:to>
    <xdr:sp macro="" textlink="">
      <xdr:nvSpPr>
        <xdr:cNvPr id="188" name="Plus 43">
          <a:extLst>
            <a:ext uri="{FF2B5EF4-FFF2-40B4-BE49-F238E27FC236}">
              <a16:creationId xmlns:a16="http://schemas.microsoft.com/office/drawing/2014/main" id="{D6ECC72A-68FE-4A41-A36E-77D9E80F2997}"/>
            </a:ext>
            <a:ext uri="{147F2762-F138-4A5C-976F-8EAC2B608ADB}">
              <a16:predDERef xmlns:a16="http://schemas.microsoft.com/office/drawing/2014/main" pred="{31732EB0-D37C-BF2B-5A6D-E7DD544295CB}"/>
            </a:ext>
          </a:extLst>
        </xdr:cNvPr>
        <xdr:cNvSpPr/>
      </xdr:nvSpPr>
      <xdr:spPr>
        <a:xfrm>
          <a:off x="4371975" y="1295400"/>
          <a:ext cx="228600" cy="228600"/>
        </a:xfrm>
        <a:prstGeom prst="mathPl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238125</xdr:colOff>
      <xdr:row>4</xdr:row>
      <xdr:rowOff>142875</xdr:rowOff>
    </xdr:from>
    <xdr:to>
      <xdr:col>5</xdr:col>
      <xdr:colOff>466725</xdr:colOff>
      <xdr:row>5</xdr:row>
      <xdr:rowOff>180975</xdr:rowOff>
    </xdr:to>
    <xdr:sp macro="" textlink="">
      <xdr:nvSpPr>
        <xdr:cNvPr id="190" name="Plus 46">
          <a:extLst>
            <a:ext uri="{FF2B5EF4-FFF2-40B4-BE49-F238E27FC236}">
              <a16:creationId xmlns:a16="http://schemas.microsoft.com/office/drawing/2014/main" id="{5DEA5214-6643-44AE-BE02-6DA2B413DEB2}"/>
            </a:ext>
            <a:ext uri="{147F2762-F138-4A5C-976F-8EAC2B608ADB}">
              <a16:predDERef xmlns:a16="http://schemas.microsoft.com/office/drawing/2014/main" pred="{D6ECC72A-68FE-4A41-A36E-77D9E80F2997}"/>
            </a:ext>
          </a:extLst>
        </xdr:cNvPr>
        <xdr:cNvSpPr/>
      </xdr:nvSpPr>
      <xdr:spPr>
        <a:xfrm>
          <a:off x="4714875" y="1047750"/>
          <a:ext cx="228600" cy="228600"/>
        </a:xfrm>
        <a:prstGeom prst="mathPl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228600</xdr:colOff>
      <xdr:row>4</xdr:row>
      <xdr:rowOff>133350</xdr:rowOff>
    </xdr:from>
    <xdr:to>
      <xdr:col>4</xdr:col>
      <xdr:colOff>457200</xdr:colOff>
      <xdr:row>5</xdr:row>
      <xdr:rowOff>171450</xdr:rowOff>
    </xdr:to>
    <xdr:sp macro="" textlink="">
      <xdr:nvSpPr>
        <xdr:cNvPr id="191" name="Plus 43">
          <a:extLst>
            <a:ext uri="{FF2B5EF4-FFF2-40B4-BE49-F238E27FC236}">
              <a16:creationId xmlns:a16="http://schemas.microsoft.com/office/drawing/2014/main" id="{918EA9B7-457F-4C4F-91B5-0D845E8AC34E}"/>
            </a:ext>
            <a:ext uri="{147F2762-F138-4A5C-976F-8EAC2B608ADB}">
              <a16:predDERef xmlns:a16="http://schemas.microsoft.com/office/drawing/2014/main" pred="{5DEA5214-6643-44AE-BE02-6DA2B413DEB2}"/>
            </a:ext>
          </a:extLst>
        </xdr:cNvPr>
        <xdr:cNvSpPr/>
      </xdr:nvSpPr>
      <xdr:spPr>
        <a:xfrm>
          <a:off x="3990975" y="1038225"/>
          <a:ext cx="228600" cy="228600"/>
        </a:xfrm>
        <a:prstGeom prst="mathPl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4</xdr:col>
      <xdr:colOff>609600</xdr:colOff>
      <xdr:row>3</xdr:row>
      <xdr:rowOff>76200</xdr:rowOff>
    </xdr:from>
    <xdr:to>
      <xdr:col>5</xdr:col>
      <xdr:colOff>123825</xdr:colOff>
      <xdr:row>4</xdr:row>
      <xdr:rowOff>114300</xdr:rowOff>
    </xdr:to>
    <xdr:sp macro="" textlink="">
      <xdr:nvSpPr>
        <xdr:cNvPr id="194" name="Plus 50">
          <a:extLst>
            <a:ext uri="{FF2B5EF4-FFF2-40B4-BE49-F238E27FC236}">
              <a16:creationId xmlns:a16="http://schemas.microsoft.com/office/drawing/2014/main" id="{AD468F61-99AA-4AA8-B480-E241036D240F}"/>
            </a:ext>
            <a:ext uri="{147F2762-F138-4A5C-976F-8EAC2B608ADB}">
              <a16:predDERef xmlns:a16="http://schemas.microsoft.com/office/drawing/2014/main" pred="{918EA9B7-457F-4C4F-91B5-0D845E8AC34E}"/>
            </a:ext>
          </a:extLst>
        </xdr:cNvPr>
        <xdr:cNvSpPr/>
      </xdr:nvSpPr>
      <xdr:spPr>
        <a:xfrm>
          <a:off x="4371975" y="790575"/>
          <a:ext cx="228600" cy="228600"/>
        </a:xfrm>
        <a:prstGeom prst="mathPl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238125</xdr:colOff>
      <xdr:row>1</xdr:row>
      <xdr:rowOff>180975</xdr:rowOff>
    </xdr:from>
    <xdr:to>
      <xdr:col>5</xdr:col>
      <xdr:colOff>466725</xdr:colOff>
      <xdr:row>3</xdr:row>
      <xdr:rowOff>28575</xdr:rowOff>
    </xdr:to>
    <xdr:sp macro="" textlink="">
      <xdr:nvSpPr>
        <xdr:cNvPr id="197" name="Plus 51">
          <a:extLst>
            <a:ext uri="{FF2B5EF4-FFF2-40B4-BE49-F238E27FC236}">
              <a16:creationId xmlns:a16="http://schemas.microsoft.com/office/drawing/2014/main" id="{E0CFA081-2026-49D2-82D5-C0473C27440E}"/>
            </a:ext>
            <a:ext uri="{147F2762-F138-4A5C-976F-8EAC2B608ADB}">
              <a16:predDERef xmlns:a16="http://schemas.microsoft.com/office/drawing/2014/main" pred="{AD468F61-99AA-4AA8-B480-E241036D240F}"/>
            </a:ext>
          </a:extLst>
        </xdr:cNvPr>
        <xdr:cNvSpPr/>
      </xdr:nvSpPr>
      <xdr:spPr>
        <a:xfrm>
          <a:off x="4714875" y="514350"/>
          <a:ext cx="228600" cy="228600"/>
        </a:xfrm>
        <a:prstGeom prst="mathPl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5</xdr:col>
      <xdr:colOff>581025</xdr:colOff>
      <xdr:row>6</xdr:row>
      <xdr:rowOff>19050</xdr:rowOff>
    </xdr:from>
    <xdr:to>
      <xdr:col>6</xdr:col>
      <xdr:colOff>95250</xdr:colOff>
      <xdr:row>7</xdr:row>
      <xdr:rowOff>57150</xdr:rowOff>
    </xdr:to>
    <xdr:sp macro="" textlink="">
      <xdr:nvSpPr>
        <xdr:cNvPr id="200" name="Plus 52">
          <a:extLst>
            <a:ext uri="{FF2B5EF4-FFF2-40B4-BE49-F238E27FC236}">
              <a16:creationId xmlns:a16="http://schemas.microsoft.com/office/drawing/2014/main" id="{2CF39C45-CF1E-4609-AB68-D5D039B679C8}"/>
            </a:ext>
            <a:ext uri="{147F2762-F138-4A5C-976F-8EAC2B608ADB}">
              <a16:predDERef xmlns:a16="http://schemas.microsoft.com/office/drawing/2014/main" pred="{E0CFA081-2026-49D2-82D5-C0473C27440E}"/>
            </a:ext>
          </a:extLst>
        </xdr:cNvPr>
        <xdr:cNvSpPr/>
      </xdr:nvSpPr>
      <xdr:spPr>
        <a:xfrm>
          <a:off x="5057775" y="1304925"/>
          <a:ext cx="228600" cy="228600"/>
        </a:xfrm>
        <a:prstGeom prst="mathPlu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saadeddin\Desktop\QFD\House%20of%20Quality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use of Quality 1"/>
      <sheetName val="Data Validation Sources"/>
      <sheetName val="House of Quality 2"/>
      <sheetName val="House of Quality 3"/>
      <sheetName val="House of Quality 4"/>
      <sheetName val="Abou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showGridLines="0" tabSelected="1" topLeftCell="A9" zoomScaleNormal="100" workbookViewId="0">
      <selection activeCell="J28" sqref="J28"/>
    </sheetView>
  </sheetViews>
  <sheetFormatPr defaultColWidth="8.85546875" defaultRowHeight="12"/>
  <cols>
    <col min="1" max="1" width="2.7109375" style="9" customWidth="1"/>
    <col min="2" max="2" width="12.28515625" style="9" customWidth="1"/>
    <col min="3" max="3" width="30.7109375" style="9" customWidth="1"/>
    <col min="4" max="13" width="10.7109375" style="9" customWidth="1"/>
    <col min="14" max="14" width="2.7109375" style="9" customWidth="1"/>
    <col min="15" max="16384" width="8.85546875" style="9"/>
  </cols>
  <sheetData>
    <row r="1" spans="1:13" ht="26.25">
      <c r="B1" s="46" t="s">
        <v>0</v>
      </c>
    </row>
    <row r="2" spans="1:13" ht="15" customHeight="1">
      <c r="B2" s="3"/>
      <c r="G2" s="27"/>
      <c r="H2" s="27"/>
      <c r="K2" s="28"/>
      <c r="L2" s="29"/>
    </row>
    <row r="3" spans="1:13" ht="15" customHeight="1">
      <c r="B3" s="66" t="s">
        <v>1</v>
      </c>
      <c r="C3" s="62" t="s">
        <v>2</v>
      </c>
      <c r="D3" s="3"/>
      <c r="E3" s="27"/>
      <c r="F3" s="30"/>
      <c r="G3" s="3"/>
      <c r="J3" s="63" t="s">
        <v>3</v>
      </c>
      <c r="K3" s="31"/>
      <c r="L3" s="32"/>
    </row>
    <row r="4" spans="1:13" ht="15" customHeight="1">
      <c r="B4" s="66" t="s">
        <v>4</v>
      </c>
      <c r="C4" s="62" t="s">
        <v>5</v>
      </c>
      <c r="D4" s="3"/>
      <c r="E4" s="27"/>
      <c r="F4" s="30"/>
      <c r="G4" s="3"/>
      <c r="J4" s="64" t="s">
        <v>6</v>
      </c>
      <c r="K4" s="65" t="s">
        <v>7</v>
      </c>
      <c r="L4" s="64" t="s">
        <v>8</v>
      </c>
    </row>
    <row r="5" spans="1:13" ht="15" customHeight="1">
      <c r="B5" s="3" t="s">
        <v>9</v>
      </c>
      <c r="C5" s="71">
        <v>45939</v>
      </c>
      <c r="D5" s="3"/>
      <c r="E5" s="27"/>
      <c r="F5" s="30"/>
      <c r="G5" s="3"/>
      <c r="J5" s="47" t="s">
        <v>10</v>
      </c>
      <c r="K5" s="1" t="s">
        <v>11</v>
      </c>
      <c r="L5" s="47" t="s">
        <v>12</v>
      </c>
    </row>
    <row r="6" spans="1:13" ht="15" customHeight="1">
      <c r="B6" s="3"/>
      <c r="C6" s="27"/>
      <c r="D6" s="3"/>
      <c r="E6" s="27"/>
      <c r="F6" s="30"/>
      <c r="G6" s="3"/>
      <c r="K6" s="31"/>
      <c r="L6" s="32"/>
    </row>
    <row r="7" spans="1:13" ht="15" customHeight="1">
      <c r="B7" s="3"/>
      <c r="C7" s="4"/>
      <c r="D7" s="3"/>
      <c r="E7" s="27"/>
      <c r="F7" s="30"/>
      <c r="G7" s="3"/>
      <c r="J7" s="63" t="s">
        <v>13</v>
      </c>
      <c r="K7" s="31"/>
      <c r="L7" s="32"/>
    </row>
    <row r="8" spans="1:13" ht="15" customHeight="1">
      <c r="B8" s="3"/>
      <c r="C8" s="27"/>
      <c r="D8" s="81"/>
      <c r="E8" s="27"/>
      <c r="F8" s="30"/>
      <c r="G8" s="3"/>
      <c r="H8" s="27"/>
      <c r="J8" s="33">
        <v>9</v>
      </c>
      <c r="K8" s="33">
        <v>3</v>
      </c>
      <c r="L8" s="33">
        <v>1</v>
      </c>
      <c r="M8" s="33"/>
    </row>
    <row r="9" spans="1:13" ht="15" customHeight="1">
      <c r="B9" s="3"/>
      <c r="C9" s="48" t="s">
        <v>14</v>
      </c>
      <c r="D9" s="12"/>
      <c r="E9" s="13"/>
      <c r="F9" s="13"/>
      <c r="G9" s="13"/>
      <c r="H9" s="13"/>
      <c r="J9" s="34" t="s">
        <v>15</v>
      </c>
      <c r="K9" s="34" t="s">
        <v>16</v>
      </c>
      <c r="L9" s="34" t="s">
        <v>17</v>
      </c>
      <c r="M9" s="34" t="s">
        <v>18</v>
      </c>
    </row>
    <row r="10" spans="1:13" ht="24.75">
      <c r="A10" s="26"/>
      <c r="B10" s="8" t="s">
        <v>19</v>
      </c>
      <c r="C10" s="61" t="s">
        <v>20</v>
      </c>
      <c r="D10" s="77" t="s">
        <v>21</v>
      </c>
      <c r="E10" s="77" t="s">
        <v>22</v>
      </c>
      <c r="F10" s="77" t="s">
        <v>23</v>
      </c>
      <c r="G10" s="77" t="s">
        <v>24</v>
      </c>
      <c r="H10" s="77" t="s">
        <v>25</v>
      </c>
      <c r="I10" s="26"/>
      <c r="J10" s="73" t="s">
        <v>26</v>
      </c>
      <c r="K10" s="73"/>
      <c r="L10" s="73"/>
      <c r="M10" s="73"/>
    </row>
    <row r="11" spans="1:13" ht="36" customHeight="1">
      <c r="A11" s="35"/>
      <c r="B11" s="49" t="s">
        <v>27</v>
      </c>
      <c r="C11" s="60" t="s">
        <v>28</v>
      </c>
      <c r="D11" s="78"/>
      <c r="E11" s="78"/>
      <c r="F11" s="78"/>
      <c r="G11" s="78"/>
      <c r="H11" s="78"/>
      <c r="I11" s="50" t="s">
        <v>29</v>
      </c>
      <c r="J11" s="51" t="s">
        <v>30</v>
      </c>
      <c r="K11" s="49" t="s">
        <v>31</v>
      </c>
      <c r="L11" s="49" t="s">
        <v>32</v>
      </c>
    </row>
    <row r="12" spans="1:13" ht="15" customHeight="1">
      <c r="A12" s="67">
        <v>1</v>
      </c>
      <c r="B12" s="14">
        <v>5</v>
      </c>
      <c r="C12" s="10" t="s">
        <v>33</v>
      </c>
      <c r="D12" s="39">
        <v>1</v>
      </c>
      <c r="E12" s="39"/>
      <c r="F12" s="39"/>
      <c r="G12" s="39"/>
      <c r="H12" s="39">
        <v>3</v>
      </c>
      <c r="I12" s="52">
        <f t="shared" ref="I12:I19" si="0">(D12*B12)+(E12*B12)+(F12*B12)+(G12*B12)+(H12*B12)</f>
        <v>20</v>
      </c>
      <c r="J12" s="36">
        <v>5</v>
      </c>
      <c r="K12" s="37">
        <v>5</v>
      </c>
      <c r="L12" s="36">
        <v>5</v>
      </c>
    </row>
    <row r="13" spans="1:13" ht="15" customHeight="1">
      <c r="A13" s="67">
        <v>2</v>
      </c>
      <c r="B13" s="14">
        <v>5</v>
      </c>
      <c r="C13" s="11" t="s">
        <v>34</v>
      </c>
      <c r="D13" s="39">
        <v>3</v>
      </c>
      <c r="E13" s="39">
        <v>9</v>
      </c>
      <c r="F13" s="39"/>
      <c r="G13" s="39">
        <v>1</v>
      </c>
      <c r="H13" s="39">
        <v>1</v>
      </c>
      <c r="I13" s="52">
        <f t="shared" si="0"/>
        <v>70</v>
      </c>
      <c r="J13" s="38">
        <v>5</v>
      </c>
      <c r="K13" s="39">
        <v>5</v>
      </c>
      <c r="L13" s="38">
        <v>5</v>
      </c>
    </row>
    <row r="14" spans="1:13" ht="15" customHeight="1">
      <c r="A14" s="67">
        <v>3</v>
      </c>
      <c r="B14" s="14">
        <v>3</v>
      </c>
      <c r="C14" s="11" t="s">
        <v>35</v>
      </c>
      <c r="D14" s="39"/>
      <c r="E14" s="39"/>
      <c r="F14" s="39">
        <v>9</v>
      </c>
      <c r="G14" s="39"/>
      <c r="H14" s="39"/>
      <c r="I14" s="52">
        <f t="shared" si="0"/>
        <v>27</v>
      </c>
      <c r="J14" s="38">
        <v>1</v>
      </c>
      <c r="K14" s="39">
        <v>1</v>
      </c>
      <c r="L14" s="38">
        <v>1</v>
      </c>
    </row>
    <row r="15" spans="1:13" ht="15" customHeight="1">
      <c r="A15" s="67">
        <v>4</v>
      </c>
      <c r="B15" s="14">
        <v>5</v>
      </c>
      <c r="C15" s="11" t="s">
        <v>36</v>
      </c>
      <c r="D15" s="39"/>
      <c r="E15" s="39">
        <v>1</v>
      </c>
      <c r="F15" s="39"/>
      <c r="G15" s="39">
        <v>3</v>
      </c>
      <c r="H15" s="39">
        <v>9</v>
      </c>
      <c r="I15" s="52">
        <f t="shared" si="0"/>
        <v>65</v>
      </c>
      <c r="J15" s="38">
        <v>5</v>
      </c>
      <c r="K15" s="39">
        <v>5</v>
      </c>
      <c r="L15" s="38">
        <v>5</v>
      </c>
    </row>
    <row r="16" spans="1:13" ht="15" customHeight="1">
      <c r="A16" s="67">
        <v>5</v>
      </c>
      <c r="B16" s="14">
        <v>5</v>
      </c>
      <c r="C16" s="11" t="s">
        <v>37</v>
      </c>
      <c r="D16" s="39"/>
      <c r="E16" s="39"/>
      <c r="F16" s="39">
        <v>3</v>
      </c>
      <c r="G16" s="39">
        <v>1</v>
      </c>
      <c r="H16" s="39"/>
      <c r="I16" s="52">
        <f t="shared" si="0"/>
        <v>20</v>
      </c>
      <c r="J16" s="38">
        <v>4</v>
      </c>
      <c r="K16" s="39">
        <v>4</v>
      </c>
      <c r="L16" s="38">
        <v>4</v>
      </c>
    </row>
    <row r="17" spans="1:13" ht="15" customHeight="1">
      <c r="A17" s="67">
        <v>6</v>
      </c>
      <c r="B17" s="14">
        <v>4</v>
      </c>
      <c r="C17" s="11" t="s">
        <v>38</v>
      </c>
      <c r="D17" s="39"/>
      <c r="E17" s="39"/>
      <c r="F17" s="39">
        <v>1</v>
      </c>
      <c r="G17" s="39"/>
      <c r="H17" s="39"/>
      <c r="I17" s="52">
        <f t="shared" si="0"/>
        <v>4</v>
      </c>
      <c r="J17" s="38">
        <v>3</v>
      </c>
      <c r="K17" s="39">
        <v>1</v>
      </c>
      <c r="L17" s="38">
        <v>1</v>
      </c>
    </row>
    <row r="18" spans="1:13" ht="15" customHeight="1">
      <c r="A18" s="67">
        <v>7</v>
      </c>
      <c r="B18" s="14">
        <v>4</v>
      </c>
      <c r="C18" s="11" t="s">
        <v>39</v>
      </c>
      <c r="D18" s="39">
        <v>9</v>
      </c>
      <c r="E18" s="39">
        <v>9</v>
      </c>
      <c r="F18" s="39">
        <v>1</v>
      </c>
      <c r="G18" s="39">
        <v>9</v>
      </c>
      <c r="H18" s="39">
        <v>3</v>
      </c>
      <c r="I18" s="52">
        <f t="shared" si="0"/>
        <v>124</v>
      </c>
      <c r="J18" s="38">
        <v>5</v>
      </c>
      <c r="K18" s="39">
        <v>5</v>
      </c>
      <c r="L18" s="38">
        <v>5</v>
      </c>
    </row>
    <row r="19" spans="1:13" ht="15" customHeight="1">
      <c r="A19" s="67">
        <v>8</v>
      </c>
      <c r="B19" s="14">
        <v>4</v>
      </c>
      <c r="C19" s="11" t="s">
        <v>40</v>
      </c>
      <c r="D19" s="39">
        <v>9</v>
      </c>
      <c r="E19" s="39">
        <v>3</v>
      </c>
      <c r="F19" s="39"/>
      <c r="G19" s="39">
        <v>3</v>
      </c>
      <c r="H19" s="39"/>
      <c r="I19" s="52">
        <f t="shared" si="0"/>
        <v>60</v>
      </c>
      <c r="J19" s="38">
        <v>4</v>
      </c>
      <c r="K19" s="39">
        <v>4</v>
      </c>
      <c r="L19" s="38">
        <v>4</v>
      </c>
    </row>
    <row r="20" spans="1:13" ht="15" customHeight="1">
      <c r="A20" s="67">
        <v>9</v>
      </c>
      <c r="B20" s="75">
        <v>5</v>
      </c>
      <c r="C20" s="11" t="s">
        <v>41</v>
      </c>
      <c r="D20" s="39">
        <v>9</v>
      </c>
      <c r="E20" s="39">
        <v>3</v>
      </c>
      <c r="F20" s="39"/>
      <c r="G20" s="74">
        <v>9</v>
      </c>
      <c r="H20" s="39"/>
      <c r="I20" s="52">
        <f>(D20*B20)+(E20*B20)+(F20*B20)+(G20*B20)+(H20*B20)</f>
        <v>105</v>
      </c>
      <c r="J20" s="76">
        <v>5</v>
      </c>
      <c r="K20" s="39">
        <v>4</v>
      </c>
      <c r="L20" s="38">
        <v>4</v>
      </c>
    </row>
    <row r="21" spans="1:13" ht="12.75" customHeight="1">
      <c r="A21" s="26"/>
      <c r="B21" s="40"/>
      <c r="C21" s="53" t="s">
        <v>42</v>
      </c>
      <c r="D21" s="57">
        <f>D12*B12+D13*B13+D14*B14+D15*B15+D16*B16+D17*B17+D18*B18+D19*B19+D20*B20</f>
        <v>137</v>
      </c>
      <c r="E21" s="57">
        <f>E12*B12+E13*B13+E14*B14+E15*B15+E16*B16+E17*B17+E18*B18+E19*B19+E20*B20</f>
        <v>113</v>
      </c>
      <c r="F21" s="57">
        <f>F12*B12+F13*B13+F14*B14+F15*B15+F16*B16+F17*B17+F18*B18+F19*B19+F20*B20</f>
        <v>50</v>
      </c>
      <c r="G21" s="57">
        <f>G12*B12+G13*B13+G14*B14+G15*B15+G16*B16+G17*B17+G18*B18+G19*B19+G20*B20</f>
        <v>118</v>
      </c>
      <c r="H21" s="57">
        <f>H12*B12+H13*B13+H14*B14+H15*B15+H16*B16+H17*B17+H18*B18+H19*B19+H20*B20</f>
        <v>77</v>
      </c>
      <c r="I21" s="5">
        <f>SUM(I12:I20)</f>
        <v>495</v>
      </c>
    </row>
    <row r="22" spans="1:13" ht="12.75" customHeight="1">
      <c r="A22" s="26"/>
      <c r="B22" s="40"/>
      <c r="C22" s="54" t="s">
        <v>43</v>
      </c>
      <c r="D22" s="58">
        <f>IF(ISERROR(D21/I21)," ",D21/I21)</f>
        <v>0.27676767676767677</v>
      </c>
      <c r="E22" s="58">
        <f>IF(ISERROR(E21/I21)," ",E21/I21)</f>
        <v>0.22828282828282828</v>
      </c>
      <c r="F22" s="58">
        <f>IF(ISERROR(F21/I21)," ",F21/I21)</f>
        <v>0.10101010101010101</v>
      </c>
      <c r="G22" s="58">
        <f>IF(ISERROR(G21/I21)," ",G21/I21)</f>
        <v>0.23838383838383839</v>
      </c>
      <c r="H22" s="58">
        <f>IF(ISERROR(H21/I21)," ",H21/I21)</f>
        <v>0.15555555555555556</v>
      </c>
      <c r="I22" s="6">
        <f>SUM(D22:H22)</f>
        <v>1</v>
      </c>
    </row>
    <row r="23" spans="1:13" ht="12.75" customHeight="1">
      <c r="A23" s="26"/>
      <c r="B23" s="40"/>
      <c r="C23" s="54" t="s">
        <v>44</v>
      </c>
      <c r="D23" s="59">
        <f>IF(ISERROR(RANK(D21,D21:H21,0)),"",RANK(D21,D21:H21,0))</f>
        <v>1</v>
      </c>
      <c r="E23" s="59">
        <f>IF(ISERROR(RANK(E21,D21:H21,0)),"",RANK(E21,D21:H21,0))</f>
        <v>3</v>
      </c>
      <c r="F23" s="59">
        <f>IF(ISERROR(RANK(F21,D21:H21,0)),"",RANK(F21,D21:H21,0))</f>
        <v>5</v>
      </c>
      <c r="G23" s="59">
        <f>IF(ISERROR(RANK(G21,D21:H21,0)),"",RANK(G21,D21:H21,0))</f>
        <v>2</v>
      </c>
      <c r="H23" s="59">
        <f>IF(ISERROR(RANK(H21,D21:H21,0)),"",RANK(H21,D21:H21,0))</f>
        <v>4</v>
      </c>
      <c r="I23" s="7"/>
    </row>
    <row r="24" spans="1:13" ht="12.75" customHeight="1">
      <c r="A24" s="26"/>
      <c r="B24" s="41"/>
      <c r="C24" s="55">
        <v>5</v>
      </c>
      <c r="D24" s="42" t="s">
        <v>45</v>
      </c>
      <c r="E24" s="42" t="s">
        <v>46</v>
      </c>
      <c r="F24" s="42"/>
      <c r="G24" s="42" t="s">
        <v>46</v>
      </c>
      <c r="H24" s="42" t="s">
        <v>45</v>
      </c>
      <c r="I24" s="7"/>
    </row>
    <row r="25" spans="1:13" ht="12.75" customHeight="1">
      <c r="A25" s="26"/>
      <c r="B25" s="41"/>
      <c r="C25" s="56">
        <v>4</v>
      </c>
      <c r="D25" s="43"/>
      <c r="E25" s="43"/>
      <c r="F25" s="43"/>
      <c r="G25" s="43" t="s">
        <v>47</v>
      </c>
      <c r="H25" s="43"/>
      <c r="I25" s="8"/>
    </row>
    <row r="26" spans="1:13" ht="12.75" customHeight="1">
      <c r="A26" s="26"/>
      <c r="B26" s="41"/>
      <c r="C26" s="56">
        <v>3</v>
      </c>
      <c r="D26" s="43"/>
      <c r="E26" s="43" t="s">
        <v>47</v>
      </c>
      <c r="F26" s="43"/>
      <c r="G26" s="43"/>
      <c r="H26" s="43"/>
      <c r="I26" s="8"/>
    </row>
    <row r="27" spans="1:13" ht="12.75" customHeight="1">
      <c r="A27" s="26"/>
      <c r="B27" s="41"/>
      <c r="C27" s="56">
        <v>2</v>
      </c>
      <c r="D27" s="43"/>
      <c r="E27" s="43"/>
      <c r="F27" s="43" t="s">
        <v>46</v>
      </c>
      <c r="G27" s="39"/>
      <c r="H27" s="39"/>
      <c r="I27" s="44"/>
    </row>
    <row r="28" spans="1:13" ht="12.75" customHeight="1">
      <c r="A28" s="26"/>
      <c r="B28" s="41"/>
      <c r="C28" s="79">
        <v>1</v>
      </c>
      <c r="D28" s="80"/>
      <c r="E28" s="80"/>
      <c r="F28" s="80" t="s">
        <v>47</v>
      </c>
      <c r="G28" s="80"/>
      <c r="H28" s="80"/>
      <c r="I28" s="44"/>
    </row>
    <row r="29" spans="1:13" ht="12.75" customHeight="1">
      <c r="A29" s="26"/>
      <c r="I29" s="44"/>
    </row>
    <row r="30" spans="1:13" ht="12.75" customHeight="1">
      <c r="A30" s="26"/>
      <c r="I30" s="26"/>
    </row>
    <row r="31" spans="1:13" ht="12.75">
      <c r="B31" s="2" t="s">
        <v>48</v>
      </c>
    </row>
    <row r="32" spans="1:13">
      <c r="B32" s="15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8"/>
    </row>
    <row r="33" spans="2:13">
      <c r="B33" s="22"/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5"/>
    </row>
    <row r="34" spans="2:13"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/>
    </row>
    <row r="35" spans="2:13">
      <c r="B35" s="45"/>
      <c r="C35" s="45"/>
      <c r="D35" s="45"/>
      <c r="E35" s="45"/>
      <c r="F35" s="45"/>
      <c r="G35" s="45"/>
      <c r="H35" s="45"/>
    </row>
    <row r="36" spans="2:13" ht="15">
      <c r="B36" s="72" t="s">
        <v>49</v>
      </c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</row>
    <row r="38" spans="2:13" ht="12.75">
      <c r="B38" s="68" t="s">
        <v>50</v>
      </c>
    </row>
    <row r="39" spans="2:13" ht="12.75">
      <c r="B39" s="69" t="s">
        <v>51</v>
      </c>
    </row>
    <row r="40" spans="2:13" ht="12.75">
      <c r="B40" s="69" t="s">
        <v>52</v>
      </c>
    </row>
    <row r="41" spans="2:13" ht="12.75">
      <c r="B41" s="69" t="s">
        <v>53</v>
      </c>
    </row>
    <row r="42" spans="2:13" ht="12.75">
      <c r="B42" s="69" t="s">
        <v>54</v>
      </c>
    </row>
    <row r="43" spans="2:13" ht="12.75">
      <c r="B43" s="68" t="s">
        <v>55</v>
      </c>
    </row>
    <row r="44" spans="2:13" ht="12.75">
      <c r="B44" s="70" t="s">
        <v>56</v>
      </c>
    </row>
  </sheetData>
  <mergeCells count="7">
    <mergeCell ref="B36:M36"/>
    <mergeCell ref="J10:M10"/>
    <mergeCell ref="H10:H11"/>
    <mergeCell ref="D10:D11"/>
    <mergeCell ref="E10:E11"/>
    <mergeCell ref="F10:F11"/>
    <mergeCell ref="G10:G11"/>
  </mergeCells>
  <phoneticPr fontId="1" type="noConversion"/>
  <printOptions horizontalCentered="1" verticalCentered="1"/>
  <pageMargins left="0.1" right="0.1" top="0.1" bottom="0.1" header="0.2" footer="0.2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lolo</dc:creator>
  <cp:keywords/>
  <dc:description/>
  <cp:lastModifiedBy>Luke Fredin</cp:lastModifiedBy>
  <cp:revision/>
  <dcterms:created xsi:type="dcterms:W3CDTF">1996-10-14T23:33:28Z</dcterms:created>
  <dcterms:modified xsi:type="dcterms:W3CDTF">2025-10-09T18:43:04Z</dcterms:modified>
  <cp:category/>
  <cp:contentStatus/>
</cp:coreProperties>
</file>